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7AAE002B-77BD-4D1E-AD04-B9508BBA48E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F48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2" i="3"/>
  <c r="F4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F45" i="3"/>
  <c r="F44" i="3"/>
  <c r="F42" i="3"/>
  <c r="F41" i="3"/>
  <c r="F40" i="3"/>
</calcChain>
</file>

<file path=xl/sharedStrings.xml><?xml version="1.0" encoding="utf-8"?>
<sst xmlns="http://schemas.openxmlformats.org/spreadsheetml/2006/main" count="313" uniqueCount="122">
  <si>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</si>
  <si>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</si>
  <si>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</si>
  <si>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</si>
  <si>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</si>
  <si>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</si>
  <si>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</si>
  <si>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</si>
  <si>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</si>
  <si>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</si>
  <si>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</si>
  <si>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</si>
  <si>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</si>
  <si>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</si>
  <si>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</si>
  <si>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</si>
  <si>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</si>
  <si>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</si>
  <si>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</si>
  <si>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</si>
  <si>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</si>
  <si>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</si>
  <si>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</si>
  <si>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</si>
  <si>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</si>
  <si>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</si>
  <si>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</si>
  <si>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</si>
  <si>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</si>
  <si>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</si>
  <si>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</si>
  <si>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</si>
  <si>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</si>
  <si>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</si>
  <si>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</si>
  <si>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</si>
  <si>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</si>
  <si>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</si>
  <si>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</si>
  <si>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</si>
  <si>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</si>
  <si>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</si>
  <si>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</si>
  <si>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</si>
  <si>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</si>
  <si>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</si>
  <si>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</si>
  <si>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</si>
  <si>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</si>
  <si>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</si>
  <si>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</si>
  <si>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</si>
  <si>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</si>
  <si>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</si>
  <si>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</si>
  <si>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</si>
  <si>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</si>
  <si>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</si>
  <si>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</si>
  <si>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</si>
  <si>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</si>
  <si>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</si>
  <si>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</si>
  <si>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</si>
  <si>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</si>
  <si>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</si>
  <si>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</si>
  <si>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</si>
  <si>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</si>
  <si>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</si>
  <si>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</si>
  <si>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</si>
  <si>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</si>
  <si>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</si>
  <si>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</si>
  <si>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</si>
  <si>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</si>
  <si>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</si>
  <si>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</si>
  <si>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</si>
  <si>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</si>
  <si>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</si>
  <si>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</si>
  <si>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</si>
  <si>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</si>
  <si>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</si>
  <si>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</si>
  <si>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</si>
  <si>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</si>
  <si>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</si>
  <si>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</si>
  <si>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</si>
  <si>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</si>
  <si>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</si>
  <si>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</si>
  <si>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</si>
  <si>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</si>
  <si>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</si>
  <si>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</si>
  <si>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</si>
  <si>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</si>
  <si>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</si>
  <si>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</si>
  <si>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</si>
  <si>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</si>
  <si>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</si>
  <si>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</si>
  <si>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</si>
  <si>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</si>
  <si>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</si>
  <si>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product(SUM)</t>
  </si>
  <si>
    <t>Total number of product(COUNTA)</t>
  </si>
  <si>
    <t>Average price of the product(AVERAGE)</t>
  </si>
  <si>
    <t>Minimum price(MIN)</t>
  </si>
  <si>
    <t>Maximum price(MAX)</t>
  </si>
  <si>
    <t>Price Range</t>
  </si>
  <si>
    <t>Answers</t>
  </si>
  <si>
    <t>Total price of Electronics products</t>
  </si>
  <si>
    <t>The no. of products with price less than 100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</si>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</sst>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6"/>
      <color rgb="FFFF0000"/>
      <name val="Arial"/>
      <family val="2"/>
      <scheme val="minor"/>
    </font>
    <font>
      <b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4"/>
      <color rgb="FFFF0000"/>
      <name val="Arial"/>
      <family val="2"/>
      <scheme val="minor"/>
    </font>
    <font>
      <sz val="12"/>
      <color theme="7" tint="-0.49998474074526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2" workbookViewId="0">
      <selection activeCell="F10" sqref="F10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887E-5BFC-4247-95BB-59C93EC6FB9C}">
  <dimension ref="A1:M1000"/>
  <sheetViews>
    <sheetView tabSelected="1" workbookViewId="0">
      <selection activeCell="G43" sqref="G43"/>
    </sheetView>
  </sheetViews>
  <sheetFormatPr defaultColWidth="12.5703125" defaultRowHeight="12.75" x14ac:dyDescent="0.2"/>
  <cols>
    <col min="2" max="2" width="14.140625" customWidth="1"/>
    <col min="9" max="9" width="15.570312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H1" s="18">
        <v>3</v>
      </c>
      <c r="I1" s="14" t="s">
        <v>115</v>
      </c>
      <c r="J1" s="18">
        <v>5</v>
      </c>
      <c r="K1" s="20" t="s">
        <v>119</v>
      </c>
      <c r="L1" s="20" t="s">
        <v>120</v>
      </c>
      <c r="M1" s="20" t="s">
        <v>121</v>
      </c>
    </row>
    <row r="2" spans="1:13" ht="15.75" customHeight="1" x14ac:dyDescent="0.2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/>
      <c r="I2" s="15" t="str">
        <f>IF(D2&gt;=500,"High Price","Standard Price")</f>
        <v>High Price</v>
      </c>
      <c r="K2" s="11" t="str">
        <f>LEFT(A2,2)</f>
        <v>28</v>
      </c>
      <c r="L2" s="11" t="str">
        <f>RIGHT(A2,2)</f>
        <v>US</v>
      </c>
      <c r="M2" s="11" t="str">
        <f>MID(A2,4,3)</f>
        <v>JAN</v>
      </c>
    </row>
    <row r="3" spans="1:13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  <c r="I3" s="15" t="str">
        <f t="shared" ref="I3:I35" si="0">IF(D3&gt;=500,"High Price","Standard Price")</f>
        <v>Standard Price</v>
      </c>
      <c r="K3" s="11" t="str">
        <f t="shared" ref="K3:K35" si="1">LEFT(A3,2)</f>
        <v>15</v>
      </c>
      <c r="L3" s="11" t="str">
        <f t="shared" ref="L3:L35" si="2">RIGHT(A3,2)</f>
        <v>US</v>
      </c>
      <c r="M3" s="11" t="str">
        <f t="shared" ref="M3:M35" si="3">MID(A3,4,3)</f>
        <v>FEB</v>
      </c>
    </row>
    <row r="4" spans="1:13" ht="15.75" customHeight="1" x14ac:dyDescent="0.2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/>
      <c r="I4" s="15" t="str">
        <f t="shared" si="0"/>
        <v>Standard Price</v>
      </c>
      <c r="K4" s="11" t="str">
        <f t="shared" si="1"/>
        <v>03</v>
      </c>
      <c r="L4" s="11" t="str">
        <f t="shared" si="2"/>
        <v>US</v>
      </c>
      <c r="M4" s="11" t="str">
        <f t="shared" si="3"/>
        <v>MAR</v>
      </c>
    </row>
    <row r="5" spans="1:13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  <c r="I5" s="15" t="str">
        <f t="shared" si="0"/>
        <v>High Price</v>
      </c>
      <c r="K5" s="11" t="str">
        <f t="shared" si="1"/>
        <v>11</v>
      </c>
      <c r="L5" s="11" t="str">
        <f t="shared" si="2"/>
        <v>US</v>
      </c>
      <c r="M5" s="11" t="str">
        <f t="shared" si="3"/>
        <v>APR</v>
      </c>
    </row>
    <row r="6" spans="1:13" ht="15.75" customHeight="1" x14ac:dyDescent="0.2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/>
      <c r="I6" s="15" t="str">
        <f t="shared" si="0"/>
        <v>Standard Price</v>
      </c>
      <c r="K6" s="11" t="str">
        <f t="shared" si="1"/>
        <v>22</v>
      </c>
      <c r="L6" s="11" t="str">
        <f t="shared" si="2"/>
        <v>US</v>
      </c>
      <c r="M6" s="11" t="str">
        <f t="shared" si="3"/>
        <v>MAY</v>
      </c>
    </row>
    <row r="7" spans="1:13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  <c r="I7" s="15" t="str">
        <f t="shared" si="0"/>
        <v>Standard Price</v>
      </c>
      <c r="K7" s="11" t="str">
        <f t="shared" si="1"/>
        <v>07</v>
      </c>
      <c r="L7" s="11" t="str">
        <f t="shared" si="2"/>
        <v>UK</v>
      </c>
      <c r="M7" s="11" t="str">
        <f t="shared" si="3"/>
        <v>JUN</v>
      </c>
    </row>
    <row r="8" spans="1:13" ht="15.75" customHeight="1" x14ac:dyDescent="0.2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/>
      <c r="I8" s="15" t="str">
        <f t="shared" si="0"/>
        <v>Standard Price</v>
      </c>
      <c r="K8" s="11" t="str">
        <f t="shared" si="1"/>
        <v>19</v>
      </c>
      <c r="L8" s="11" t="str">
        <f t="shared" si="2"/>
        <v>UK</v>
      </c>
      <c r="M8" s="11" t="str">
        <f t="shared" si="3"/>
        <v>JUL</v>
      </c>
    </row>
    <row r="9" spans="1:13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  <c r="I9" s="15" t="str">
        <f t="shared" si="0"/>
        <v>Standard Price</v>
      </c>
      <c r="K9" s="11" t="str">
        <f t="shared" si="1"/>
        <v>23</v>
      </c>
      <c r="L9" s="11" t="str">
        <f t="shared" si="2"/>
        <v>UK</v>
      </c>
      <c r="M9" s="11" t="str">
        <f t="shared" si="3"/>
        <v>AUG</v>
      </c>
    </row>
    <row r="10" spans="1:13" ht="15.75" customHeight="1" x14ac:dyDescent="0.2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/>
      <c r="I10" s="15" t="str">
        <f t="shared" si="0"/>
        <v>High Price</v>
      </c>
      <c r="K10" s="11" t="str">
        <f t="shared" si="1"/>
        <v>05</v>
      </c>
      <c r="L10" s="11" t="str">
        <f t="shared" si="2"/>
        <v>UK</v>
      </c>
      <c r="M10" s="11" t="str">
        <f t="shared" si="3"/>
        <v>SEP</v>
      </c>
    </row>
    <row r="11" spans="1:13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  <c r="I11" s="15" t="str">
        <f t="shared" si="0"/>
        <v>Standard Price</v>
      </c>
      <c r="K11" s="11" t="str">
        <f t="shared" si="1"/>
        <v>14</v>
      </c>
      <c r="L11" s="11" t="str">
        <f t="shared" si="2"/>
        <v>UK</v>
      </c>
      <c r="M11" s="11" t="str">
        <f t="shared" si="3"/>
        <v>OCT</v>
      </c>
    </row>
    <row r="12" spans="1:13" ht="15.75" customHeight="1" x14ac:dyDescent="0.2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/>
      <c r="I12" s="15" t="str">
        <f t="shared" si="0"/>
        <v>High Price</v>
      </c>
      <c r="K12" s="11" t="str">
        <f t="shared" si="1"/>
        <v>17</v>
      </c>
      <c r="L12" s="11" t="str">
        <f t="shared" si="2"/>
        <v>IN</v>
      </c>
      <c r="M12" s="11" t="str">
        <f t="shared" si="3"/>
        <v>JUN</v>
      </c>
    </row>
    <row r="13" spans="1:13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  <c r="I13" s="15" t="str">
        <f t="shared" si="0"/>
        <v>Standard Price</v>
      </c>
      <c r="K13" s="11" t="str">
        <f t="shared" si="1"/>
        <v>25</v>
      </c>
      <c r="L13" s="11" t="str">
        <f t="shared" si="2"/>
        <v>AU</v>
      </c>
      <c r="M13" s="11" t="str">
        <f t="shared" si="3"/>
        <v>NOV</v>
      </c>
    </row>
    <row r="14" spans="1:13" ht="15.75" customHeight="1" x14ac:dyDescent="0.2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/>
      <c r="I14" s="15" t="str">
        <f t="shared" si="0"/>
        <v>Standard Price</v>
      </c>
      <c r="K14" s="11" t="str">
        <f t="shared" si="1"/>
        <v>08</v>
      </c>
      <c r="L14" s="11" t="str">
        <f t="shared" si="2"/>
        <v>DE</v>
      </c>
      <c r="M14" s="11" t="str">
        <f t="shared" si="3"/>
        <v>DEC</v>
      </c>
    </row>
    <row r="15" spans="1:13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  <c r="I15" s="15" t="str">
        <f t="shared" si="0"/>
        <v>Standard Price</v>
      </c>
      <c r="K15" s="11" t="str">
        <f t="shared" si="1"/>
        <v>18</v>
      </c>
      <c r="L15" s="11" t="str">
        <f t="shared" si="2"/>
        <v>CA</v>
      </c>
      <c r="M15" s="11" t="str">
        <f t="shared" si="3"/>
        <v>FEB</v>
      </c>
    </row>
    <row r="16" spans="1:13" ht="15.75" customHeight="1" x14ac:dyDescent="0.2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/>
      <c r="I16" s="15" t="str">
        <f t="shared" si="0"/>
        <v>Standard Price</v>
      </c>
      <c r="K16" s="11" t="str">
        <f t="shared" si="1"/>
        <v>16</v>
      </c>
      <c r="L16" s="11" t="str">
        <f t="shared" si="2"/>
        <v>ES</v>
      </c>
      <c r="M16" s="11" t="str">
        <f t="shared" si="3"/>
        <v>APR</v>
      </c>
    </row>
    <row r="17" spans="1:13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  <c r="I17" s="15" t="str">
        <f t="shared" si="0"/>
        <v>Standard Price</v>
      </c>
      <c r="K17" s="11" t="str">
        <f t="shared" si="1"/>
        <v>21</v>
      </c>
      <c r="L17" s="11" t="str">
        <f t="shared" si="2"/>
        <v>CA</v>
      </c>
      <c r="M17" s="11" t="str">
        <f t="shared" si="3"/>
        <v>AUG</v>
      </c>
    </row>
    <row r="18" spans="1:13" ht="15.75" customHeight="1" x14ac:dyDescent="0.2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/>
      <c r="I18" s="15" t="str">
        <f t="shared" si="0"/>
        <v>Standard Price</v>
      </c>
      <c r="K18" s="11" t="str">
        <f t="shared" si="1"/>
        <v>20</v>
      </c>
      <c r="L18" s="11" t="str">
        <f t="shared" si="2"/>
        <v>CN</v>
      </c>
      <c r="M18" s="11" t="str">
        <f t="shared" si="3"/>
        <v>AUG</v>
      </c>
    </row>
    <row r="19" spans="1:13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  <c r="I19" s="15" t="str">
        <f t="shared" si="0"/>
        <v>High Price</v>
      </c>
      <c r="K19" s="11" t="str">
        <f t="shared" si="1"/>
        <v>27</v>
      </c>
      <c r="L19" s="11" t="str">
        <f t="shared" si="2"/>
        <v>IT</v>
      </c>
      <c r="M19" s="11" t="str">
        <f t="shared" si="3"/>
        <v>JAN</v>
      </c>
    </row>
    <row r="20" spans="1:13" ht="15.75" customHeight="1" x14ac:dyDescent="0.2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/>
      <c r="I20" s="15" t="str">
        <f t="shared" si="0"/>
        <v>Standard Price</v>
      </c>
      <c r="K20" s="11" t="str">
        <f t="shared" si="1"/>
        <v>01</v>
      </c>
      <c r="L20" s="11" t="str">
        <f t="shared" si="2"/>
        <v>UK</v>
      </c>
      <c r="M20" s="11" t="str">
        <f t="shared" si="3"/>
        <v>MAR</v>
      </c>
    </row>
    <row r="21" spans="1:13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  <c r="I21" s="15" t="str">
        <f t="shared" si="0"/>
        <v>Standard Price</v>
      </c>
      <c r="K21" s="11" t="str">
        <f t="shared" si="1"/>
        <v>14</v>
      </c>
      <c r="L21" s="11" t="str">
        <f t="shared" si="2"/>
        <v>US</v>
      </c>
      <c r="M21" s="11" t="str">
        <f t="shared" si="3"/>
        <v>AUG</v>
      </c>
    </row>
    <row r="22" spans="1:13" ht="15.75" customHeight="1" x14ac:dyDescent="0.2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/>
      <c r="I22" s="15" t="str">
        <f t="shared" si="0"/>
        <v>High Price</v>
      </c>
      <c r="K22" s="11" t="str">
        <f t="shared" si="1"/>
        <v>14</v>
      </c>
      <c r="L22" s="11" t="str">
        <f t="shared" si="2"/>
        <v>RU</v>
      </c>
      <c r="M22" s="11" t="str">
        <f t="shared" si="3"/>
        <v>MAY</v>
      </c>
    </row>
    <row r="23" spans="1:13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  <c r="I23" s="15" t="str">
        <f t="shared" si="0"/>
        <v>Standard Price</v>
      </c>
      <c r="K23" s="11" t="str">
        <f t="shared" si="1"/>
        <v>09</v>
      </c>
      <c r="L23" s="11" t="str">
        <f t="shared" si="2"/>
        <v>CA</v>
      </c>
      <c r="M23" s="11" t="str">
        <f t="shared" si="3"/>
        <v>JAN</v>
      </c>
    </row>
    <row r="24" spans="1:13" ht="15.75" customHeight="1" x14ac:dyDescent="0.2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/>
      <c r="I24" s="15" t="str">
        <f t="shared" si="0"/>
        <v>Standard Price</v>
      </c>
      <c r="K24" s="11" t="str">
        <f t="shared" si="1"/>
        <v>19</v>
      </c>
      <c r="L24" s="11" t="str">
        <f t="shared" si="2"/>
        <v>BR</v>
      </c>
      <c r="M24" s="11" t="str">
        <f t="shared" si="3"/>
        <v>JUL</v>
      </c>
    </row>
    <row r="25" spans="1:13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  <c r="I25" s="15" t="str">
        <f t="shared" si="0"/>
        <v>Standard Price</v>
      </c>
      <c r="K25" s="11" t="str">
        <f t="shared" si="1"/>
        <v>21</v>
      </c>
      <c r="L25" s="11" t="str">
        <f t="shared" si="2"/>
        <v>CA</v>
      </c>
      <c r="M25" s="11" t="str">
        <f t="shared" si="3"/>
        <v>AUG</v>
      </c>
    </row>
    <row r="26" spans="1:13" ht="15.75" customHeight="1" x14ac:dyDescent="0.2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/>
      <c r="I26" s="15" t="str">
        <f t="shared" si="0"/>
        <v>High Price</v>
      </c>
      <c r="K26" s="11" t="str">
        <f t="shared" si="1"/>
        <v>29</v>
      </c>
      <c r="L26" s="11" t="str">
        <f t="shared" si="2"/>
        <v>CA</v>
      </c>
      <c r="M26" s="11" t="str">
        <f t="shared" si="3"/>
        <v>SEP</v>
      </c>
    </row>
    <row r="27" spans="1:13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  <c r="I27" s="15" t="str">
        <f t="shared" si="0"/>
        <v>Standard Price</v>
      </c>
      <c r="K27" s="11" t="str">
        <f t="shared" si="1"/>
        <v>03</v>
      </c>
      <c r="L27" s="11" t="str">
        <f t="shared" si="2"/>
        <v>CA</v>
      </c>
      <c r="M27" s="11" t="str">
        <f t="shared" si="3"/>
        <v>JUN</v>
      </c>
    </row>
    <row r="28" spans="1:13" ht="15.75" customHeight="1" x14ac:dyDescent="0.2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/>
      <c r="I28" s="15" t="str">
        <f t="shared" si="0"/>
        <v>Standard Price</v>
      </c>
      <c r="K28" s="11" t="str">
        <f t="shared" si="1"/>
        <v>11</v>
      </c>
      <c r="L28" s="11" t="str">
        <f t="shared" si="2"/>
        <v>CA</v>
      </c>
      <c r="M28" s="11" t="str">
        <f t="shared" si="3"/>
        <v>JUL</v>
      </c>
    </row>
    <row r="29" spans="1:13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  <c r="I29" s="15" t="str">
        <f t="shared" si="0"/>
        <v>Standard Price</v>
      </c>
      <c r="K29" s="11" t="str">
        <f t="shared" si="1"/>
        <v>16</v>
      </c>
      <c r="L29" s="11" t="str">
        <f t="shared" si="2"/>
        <v>ES</v>
      </c>
      <c r="M29" s="11" t="str">
        <f t="shared" si="3"/>
        <v>APR</v>
      </c>
    </row>
    <row r="30" spans="1:13" ht="15.75" customHeight="1" x14ac:dyDescent="0.2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/>
      <c r="I30" s="15" t="str">
        <f t="shared" si="0"/>
        <v>Standard Price</v>
      </c>
      <c r="K30" s="11" t="str">
        <f t="shared" si="1"/>
        <v>07</v>
      </c>
      <c r="L30" s="11" t="str">
        <f t="shared" si="2"/>
        <v>CA</v>
      </c>
      <c r="M30" s="11" t="str">
        <f t="shared" si="3"/>
        <v>MAR</v>
      </c>
    </row>
    <row r="31" spans="1:13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  <c r="I31" s="15" t="str">
        <f t="shared" si="0"/>
        <v>Standard Price</v>
      </c>
      <c r="K31" s="11" t="str">
        <f t="shared" si="1"/>
        <v>13</v>
      </c>
      <c r="L31" s="11" t="str">
        <f t="shared" si="2"/>
        <v>CA</v>
      </c>
      <c r="M31" s="11" t="str">
        <f t="shared" si="3"/>
        <v>APR</v>
      </c>
    </row>
    <row r="32" spans="1:13" ht="15.75" customHeight="1" x14ac:dyDescent="0.2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/>
      <c r="I32" s="15" t="str">
        <f t="shared" si="0"/>
        <v>Standard Price</v>
      </c>
      <c r="K32" s="11" t="str">
        <f t="shared" si="1"/>
        <v>24</v>
      </c>
      <c r="L32" s="11" t="str">
        <f t="shared" si="2"/>
        <v>CA</v>
      </c>
      <c r="M32" s="11" t="str">
        <f t="shared" si="3"/>
        <v>MAY</v>
      </c>
    </row>
    <row r="33" spans="1:13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  <c r="I33" s="15" t="str">
        <f t="shared" si="0"/>
        <v>Standard Price</v>
      </c>
      <c r="K33" s="11" t="str">
        <f t="shared" si="1"/>
        <v>02</v>
      </c>
      <c r="L33" s="11" t="str">
        <f t="shared" si="2"/>
        <v>CA</v>
      </c>
      <c r="M33" s="11" t="str">
        <f t="shared" si="3"/>
        <v>DEC</v>
      </c>
    </row>
    <row r="34" spans="1:13" ht="15.75" customHeight="1" x14ac:dyDescent="0.2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/>
      <c r="I34" s="15" t="str">
        <f t="shared" si="0"/>
        <v>High Price</v>
      </c>
      <c r="K34" s="11" t="str">
        <f t="shared" si="1"/>
        <v>17</v>
      </c>
      <c r="L34" s="11" t="str">
        <f t="shared" si="2"/>
        <v>IN</v>
      </c>
      <c r="M34" s="11" t="str">
        <f t="shared" si="3"/>
        <v>JUN</v>
      </c>
    </row>
    <row r="35" spans="1:13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  <c r="I35" s="15" t="str">
        <f t="shared" si="0"/>
        <v>Standard Price</v>
      </c>
      <c r="K35" s="11" t="str">
        <f t="shared" si="1"/>
        <v>09</v>
      </c>
      <c r="L35" s="11" t="str">
        <f t="shared" si="2"/>
        <v>FR</v>
      </c>
      <c r="M35" s="11" t="str">
        <f t="shared" si="3"/>
        <v>JUL</v>
      </c>
    </row>
    <row r="36" spans="1:13" ht="15.75" customHeight="1" x14ac:dyDescent="0.2">
      <c r="K36" s="11"/>
      <c r="L36" s="11"/>
      <c r="M36" s="11"/>
    </row>
    <row r="37" spans="1:13" ht="15.75" customHeight="1" x14ac:dyDescent="0.2"/>
    <row r="38" spans="1:13" ht="15.75" customHeight="1" x14ac:dyDescent="0.3">
      <c r="A38" s="13" t="s">
        <v>116</v>
      </c>
      <c r="B38" s="12"/>
    </row>
    <row r="39" spans="1:13" ht="15.75" customHeight="1" x14ac:dyDescent="0.2"/>
    <row r="40" spans="1:13" ht="15.75" customHeight="1" x14ac:dyDescent="0.25">
      <c r="A40" s="18">
        <v>1</v>
      </c>
      <c r="B40" s="16" t="s">
        <v>110</v>
      </c>
      <c r="C40" s="16"/>
      <c r="D40" s="16"/>
      <c r="E40" s="16"/>
      <c r="F40" s="19">
        <f>SUM(D2:D35)</f>
        <v>10100</v>
      </c>
    </row>
    <row r="41" spans="1:13" ht="15.75" customHeight="1" x14ac:dyDescent="0.25">
      <c r="A41" s="18"/>
      <c r="B41" s="16" t="s">
        <v>111</v>
      </c>
      <c r="C41" s="16"/>
      <c r="D41" s="16"/>
      <c r="E41" s="16"/>
      <c r="F41" s="19">
        <f>COUNTA(A2:A35)</f>
        <v>34</v>
      </c>
    </row>
    <row r="42" spans="1:13" ht="15.75" customHeight="1" x14ac:dyDescent="0.25">
      <c r="A42" s="18"/>
      <c r="B42" s="16" t="s">
        <v>112</v>
      </c>
      <c r="C42" s="16"/>
      <c r="D42" s="16"/>
      <c r="E42" s="16"/>
      <c r="F42" s="19">
        <f>AVERAGE(D2:D35)</f>
        <v>297.05882352941177</v>
      </c>
    </row>
    <row r="43" spans="1:13" ht="15.75" customHeight="1" x14ac:dyDescent="0.25">
      <c r="A43" s="18"/>
      <c r="B43" s="17"/>
      <c r="C43" s="17"/>
      <c r="D43" s="17"/>
      <c r="E43" s="17"/>
      <c r="F43" s="19"/>
    </row>
    <row r="44" spans="1:13" ht="15.75" customHeight="1" x14ac:dyDescent="0.25">
      <c r="A44" s="18">
        <v>2</v>
      </c>
      <c r="B44" s="16" t="s">
        <v>113</v>
      </c>
      <c r="C44" s="16"/>
      <c r="D44" s="16"/>
      <c r="E44" s="16"/>
      <c r="F44" s="19">
        <f>MIN(D2:D35)</f>
        <v>30</v>
      </c>
    </row>
    <row r="45" spans="1:13" ht="15.75" customHeight="1" x14ac:dyDescent="0.25">
      <c r="A45" s="18"/>
      <c r="B45" s="16" t="s">
        <v>114</v>
      </c>
      <c r="C45" s="16"/>
      <c r="D45" s="16"/>
      <c r="E45" s="16"/>
      <c r="F45" s="19">
        <f>MAX(D2:D35)</f>
        <v>1000</v>
      </c>
    </row>
    <row r="46" spans="1:13" ht="15.75" customHeight="1" x14ac:dyDescent="0.25">
      <c r="A46" s="18"/>
      <c r="B46" s="17"/>
      <c r="C46" s="17"/>
      <c r="D46" s="17"/>
      <c r="E46" s="17"/>
      <c r="F46" s="19"/>
    </row>
    <row r="47" spans="1:13" ht="15.75" customHeight="1" x14ac:dyDescent="0.25">
      <c r="A47" s="18">
        <v>4</v>
      </c>
      <c r="B47" s="16" t="s">
        <v>117</v>
      </c>
      <c r="C47" s="16"/>
      <c r="D47" s="16"/>
      <c r="E47" s="16"/>
      <c r="F47" s="19">
        <f>SUMIF(F2:F35,"Electronics",D2:D35)</f>
        <v>8050</v>
      </c>
    </row>
    <row r="48" spans="1:13" ht="15.75" customHeight="1" x14ac:dyDescent="0.2">
      <c r="B48" s="16" t="s">
        <v>118</v>
      </c>
      <c r="C48" s="16"/>
      <c r="D48" s="16"/>
      <c r="E48" s="16"/>
      <c r="F48" s="19">
        <f>COUNTIF(D2:D35,"&lt;100")</f>
        <v>11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mergeCells count="8">
    <mergeCell ref="B45:E45"/>
    <mergeCell ref="B47:E47"/>
    <mergeCell ref="B48:E48"/>
    <mergeCell ref="A38:B38"/>
    <mergeCell ref="B41:E41"/>
    <mergeCell ref="B40:E40"/>
    <mergeCell ref="B42:E42"/>
    <mergeCell ref="B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rasmi2415@gmail.com</cp:lastModifiedBy>
  <dcterms:modified xsi:type="dcterms:W3CDTF">2026-10-12T18:14:21Z</dcterms:modified>
</cp:coreProperties>
</file>